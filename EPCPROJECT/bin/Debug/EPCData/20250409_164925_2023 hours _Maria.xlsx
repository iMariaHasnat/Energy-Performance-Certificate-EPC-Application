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1E4A40E5-58E4-4681-9B83-8B77FF113845}" xr6:coauthVersionLast="47" xr6:coauthVersionMax="47" xr10:uidLastSave="{00000000-0000-0000-0000-000000000000}"/>
  <bookViews>
    <workbookView xWindow="-120" yWindow="-120" windowWidth="38640" windowHeight="21120" tabRatio="814" activeTab="1" xr2:uid="{00000000-000D-0000-FFFF-FFFF00000000}"/>
  </bookViews>
  <sheets>
    <sheet name="November" sheetId="20" r:id="rId1"/>
    <sheet name="December" sheetId="24" r:id="rId2"/>
  </sheets>
  <definedNames>
    <definedName name="_xlnm.Print_Area" localSheetId="1">December!$A$1:$J$39</definedName>
    <definedName name="_xlnm.Print_Area" localSheetId="0">November!$A$1:$J$44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0" l="1"/>
  <c r="B35" i="24"/>
  <c r="B33" i="24"/>
  <c r="B34" i="24" s="1"/>
  <c r="B5" i="24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5" i="20"/>
  <c r="B6" i="20"/>
  <c r="B7" i="20" s="1"/>
  <c r="B8" i="20" s="1"/>
  <c r="H24" i="20"/>
  <c r="H23" i="20"/>
  <c r="H18" i="20"/>
  <c r="H29" i="24"/>
  <c r="H22" i="24"/>
  <c r="H22" i="20"/>
  <c r="H15" i="20"/>
  <c r="H31" i="24" l="1"/>
  <c r="H30" i="24"/>
  <c r="H26" i="24"/>
  <c r="H28" i="24"/>
  <c r="H27" i="24"/>
  <c r="H24" i="24"/>
  <c r="H23" i="24"/>
  <c r="H19" i="24"/>
  <c r="H21" i="24"/>
  <c r="H20" i="24"/>
  <c r="H17" i="24"/>
  <c r="H16" i="24"/>
  <c r="H15" i="24"/>
  <c r="H14" i="24"/>
  <c r="H13" i="24"/>
  <c r="H12" i="24"/>
  <c r="H10" i="24"/>
  <c r="H11" i="24" s="1"/>
  <c r="H9" i="24"/>
  <c r="H8" i="24"/>
  <c r="H7" i="24"/>
  <c r="H6" i="24"/>
  <c r="H5" i="24"/>
  <c r="I3" i="24"/>
  <c r="H21" i="20"/>
  <c r="H20" i="20"/>
  <c r="H19" i="20"/>
  <c r="H17" i="20"/>
  <c r="H16" i="20"/>
  <c r="H14" i="20"/>
  <c r="H13" i="20"/>
  <c r="H12" i="20"/>
  <c r="H10" i="20"/>
  <c r="H9" i="20"/>
  <c r="H8" i="20"/>
  <c r="H7" i="20"/>
  <c r="H6" i="20"/>
  <c r="H5" i="20"/>
  <c r="H18" i="24" l="1"/>
  <c r="H32" i="24"/>
  <c r="B9" i="20" l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I3" i="20"/>
  <c r="H26" i="20" l="1"/>
  <c r="E37" i="24" l="1"/>
  <c r="H36" i="24"/>
  <c r="H38" i="24" s="1"/>
</calcChain>
</file>

<file path=xl/sharedStrings.xml><?xml version="1.0" encoding="utf-8"?>
<sst xmlns="http://schemas.openxmlformats.org/spreadsheetml/2006/main" count="92" uniqueCount="24">
  <si>
    <t>HOURS</t>
  </si>
  <si>
    <t>Date</t>
  </si>
  <si>
    <t>Start Time</t>
  </si>
  <si>
    <t>End Time</t>
  </si>
  <si>
    <t>Total</t>
  </si>
  <si>
    <t>Comments</t>
  </si>
  <si>
    <t>Monday</t>
  </si>
  <si>
    <t>Tuesday</t>
  </si>
  <si>
    <t>Wednesday</t>
  </si>
  <si>
    <t>Thursday</t>
  </si>
  <si>
    <t>Friday</t>
  </si>
  <si>
    <t>Saturday</t>
  </si>
  <si>
    <t>Sunday</t>
  </si>
  <si>
    <t>Weekly Total</t>
  </si>
  <si>
    <t>Total Hours</t>
  </si>
  <si>
    <t>Contracted Hours</t>
  </si>
  <si>
    <t>TOIL</t>
  </si>
  <si>
    <t>TOIL brought forward</t>
  </si>
  <si>
    <t>Day</t>
  </si>
  <si>
    <t>Position:</t>
  </si>
  <si>
    <t xml:space="preserve">Month: </t>
  </si>
  <si>
    <t xml:space="preserve">Week Commencing: </t>
  </si>
  <si>
    <t>Digital Technician</t>
  </si>
  <si>
    <t>Name: Maria Hasnat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</si>
</sst>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hh]:mm"/>
    <numFmt numFmtId="166" formatCode="[$-809]dd\ mmmm\ yyyy"/>
  </numFmts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20" fontId="0" fillId="0" borderId="0" xfId="0" applyNumberFormat="1"/>
    <xf numFmtId="165" fontId="2" fillId="0" borderId="10" xfId="0" applyNumberFormat="1" applyFont="1" applyBorder="1" applyAlignment="1">
      <alignment horizontal="center" vertical="center"/>
    </xf>
    <xf numFmtId="165" fontId="4" fillId="0" borderId="0" xfId="0" applyNumberFormat="1" applyFont="1"/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166" fontId="2" fillId="0" borderId="6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left" vertical="center"/>
    </xf>
    <xf numFmtId="166" fontId="2" fillId="3" borderId="2" xfId="0" applyNumberFormat="1" applyFont="1" applyFill="1" applyBorder="1" applyAlignment="1">
      <alignment horizontal="left" vertical="center"/>
    </xf>
    <xf numFmtId="165" fontId="2" fillId="0" borderId="0" xfId="0" applyNumberFormat="1" applyFont="1"/>
    <xf numFmtId="20" fontId="3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6" fontId="2" fillId="0" borderId="2" xfId="0" applyNumberFormat="1" applyFont="1" applyFill="1" applyBorder="1" applyAlignment="1">
      <alignment horizontal="left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1323975</xdr:colOff>
      <xdr:row>1</xdr:row>
      <xdr:rowOff>12700</xdr:rowOff>
    </xdr:from>
    <xdr:to>
      <xdr:col>8</xdr:col>
      <xdr:colOff>1895475</xdr:colOff>
      <xdr:row>2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C62A0-7CB5-4F3F-AFCE-29C3AF560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107950"/>
          <a:ext cx="5715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1323975</xdr:colOff>
      <xdr:row>1</xdr:row>
      <xdr:rowOff>12700</xdr:rowOff>
    </xdr:from>
    <xdr:to>
      <xdr:col>8</xdr:col>
      <xdr:colOff>1895475</xdr:colOff>
      <xdr:row>2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14586-E472-47B0-A916-21A5CD9B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07950"/>
          <a:ext cx="571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2D1-6BDF-4A7D-96CC-69E30B1BFCB9}">
  <dimension ref="B1:Q44"/>
  <sheetViews>
    <sheetView zoomScale="140" zoomScaleNormal="100" workbookViewId="0">
      <selection activeCell="H12" sqref="H12"/>
    </sheetView>
  </sheetViews>
  <sheetFormatPr defaultColWidth="8.85546875" defaultRowHeight="15" x14ac:dyDescent="0.25"/>
  <cols>
    <col min="1" max="1" width="1.42578125" customWidth="1"/>
    <col min="2" max="2" width="16.7109375" customWidth="1"/>
    <col min="3" max="7" width="12.28515625" customWidth="1"/>
    <col min="8" max="8" width="12.28515625" style="1" customWidth="1"/>
    <col min="9" max="9" width="28.7109375" customWidth="1"/>
    <col min="10" max="11" width="1.42578125" customWidth="1"/>
  </cols>
  <sheetData>
    <row r="1" spans="2:17" ht="7.5" customHeight="1" x14ac:dyDescent="0.25"/>
    <row r="2" spans="2:17" ht="30" customHeight="1" x14ac:dyDescent="0.25">
      <c r="B2" s="40" t="s">
        <v>0</v>
      </c>
      <c r="C2" s="41"/>
      <c r="D2" s="2"/>
      <c r="F2" s="3"/>
      <c r="G2" s="33" t="s">
        <v>21</v>
      </c>
      <c r="H2" s="42">
        <v>43781</v>
      </c>
      <c r="I2" s="42"/>
      <c r="M2" s="20"/>
    </row>
    <row r="3" spans="2:17" ht="26.25" customHeight="1" thickBot="1" x14ac:dyDescent="0.3">
      <c r="B3" s="32" t="s">
        <v>23</v>
      </c>
      <c r="D3" s="34" t="s">
        <v>19</v>
      </c>
      <c r="E3" s="32" t="s">
        <v>22</v>
      </c>
      <c r="H3" s="34" t="s">
        <v>20</v>
      </c>
      <c r="I3" s="15" t="str">
        <f ca="1">MID(CELL("filename",A1),FIND("]",CELL("filename",A1))+1,255)</f>
        <v>November</v>
      </c>
    </row>
    <row r="4" spans="2:17" ht="11.25" customHeight="1" thickBot="1" x14ac:dyDescent="0.3">
      <c r="B4" s="23" t="s">
        <v>1</v>
      </c>
      <c r="C4" s="24" t="s">
        <v>18</v>
      </c>
      <c r="D4" s="24" t="s">
        <v>2</v>
      </c>
      <c r="E4" s="24" t="s">
        <v>3</v>
      </c>
      <c r="F4" s="24" t="s">
        <v>2</v>
      </c>
      <c r="G4" s="24" t="s">
        <v>3</v>
      </c>
      <c r="H4" s="25" t="s">
        <v>4</v>
      </c>
      <c r="I4" s="26" t="s">
        <v>5</v>
      </c>
      <c r="L4" s="19"/>
    </row>
    <row r="5" spans="2:17" ht="11.25" customHeight="1" x14ac:dyDescent="0.25">
      <c r="B5" s="35">
        <f>DATE(2023, 11, 13)</f>
        <v>43781</v>
      </c>
      <c r="C5" s="17" t="s">
        <v>6</v>
      </c>
      <c r="D5" s="16">
        <v>0.375</v>
      </c>
      <c r="E5" s="16">
        <v>0.5</v>
      </c>
      <c r="F5" s="16">
        <v>0.54166666666666663</v>
      </c>
      <c r="G5" s="16">
        <v>0.69791666666666663</v>
      </c>
      <c r="H5" s="21">
        <f t="shared" ref="H5:H10" si="0">SUM((E5-D5)+(G5-F5))</f>
        <v>0.28125</v>
      </c>
      <c r="I5" s="4"/>
      <c r="L5" s="18"/>
      <c r="N5" s="22"/>
      <c r="O5" s="22"/>
      <c r="P5" s="22"/>
      <c r="Q5" s="22"/>
    </row>
    <row r="6" spans="2:17" ht="11.25" customHeight="1" x14ac:dyDescent="0.25">
      <c r="B6" s="36">
        <f>SUM((B5)+1)</f>
        <v>43782</v>
      </c>
      <c r="C6" s="5" t="s">
        <v>7</v>
      </c>
      <c r="D6" s="9"/>
      <c r="E6" s="9"/>
      <c r="F6" s="9"/>
      <c r="G6" s="9"/>
      <c r="H6" s="21">
        <f t="shared" si="0"/>
        <v>0</v>
      </c>
      <c r="I6" s="4"/>
      <c r="N6" s="22"/>
      <c r="O6" s="22"/>
      <c r="P6" s="22"/>
      <c r="Q6" s="22"/>
    </row>
    <row r="7" spans="2:17" ht="11.25" customHeight="1" x14ac:dyDescent="0.25">
      <c r="B7" s="36">
        <f>SUM((B6)+1)</f>
        <v>43783</v>
      </c>
      <c r="C7" s="8" t="s">
        <v>8</v>
      </c>
      <c r="D7" s="9">
        <v>0.5625</v>
      </c>
      <c r="E7" s="9">
        <v>0.60416666666666663</v>
      </c>
      <c r="F7" s="9"/>
      <c r="G7" s="9"/>
      <c r="H7" s="21">
        <f t="shared" si="0"/>
        <v>4.166666666666663E-2</v>
      </c>
      <c r="I7" s="4"/>
      <c r="N7" s="22"/>
      <c r="O7" s="22"/>
      <c r="P7" s="22"/>
      <c r="Q7" s="22"/>
    </row>
    <row r="8" spans="2:17" ht="11.25" customHeight="1" x14ac:dyDescent="0.25">
      <c r="B8" s="36">
        <f>SUM((B7)+1)</f>
        <v>43784</v>
      </c>
      <c r="C8" s="5" t="s">
        <v>9</v>
      </c>
      <c r="D8" s="9"/>
      <c r="E8" s="9"/>
      <c r="F8" s="9"/>
      <c r="G8" s="9"/>
      <c r="H8" s="21">
        <f t="shared" si="0"/>
        <v>0</v>
      </c>
      <c r="I8" s="4"/>
      <c r="N8" s="22"/>
      <c r="O8" s="22"/>
      <c r="P8" s="22"/>
      <c r="Q8" s="22"/>
    </row>
    <row r="9" spans="2:17" ht="11.25" customHeight="1" x14ac:dyDescent="0.25">
      <c r="B9" s="36">
        <f t="shared" ref="B9:B22" si="1">SUM((B8)+1)</f>
        <v>43785</v>
      </c>
      <c r="C9" s="5" t="s">
        <v>10</v>
      </c>
      <c r="D9" s="9"/>
      <c r="E9" s="9"/>
      <c r="F9" s="9"/>
      <c r="G9" s="9"/>
      <c r="H9" s="21">
        <f t="shared" si="0"/>
        <v>0</v>
      </c>
      <c r="I9" s="4"/>
      <c r="N9" s="22"/>
      <c r="O9" s="22"/>
      <c r="P9" s="22"/>
      <c r="Q9" s="22"/>
    </row>
    <row r="10" spans="2:17" ht="11.25" customHeight="1" x14ac:dyDescent="0.25">
      <c r="B10" s="36">
        <f t="shared" si="1"/>
        <v>43786</v>
      </c>
      <c r="C10" s="5" t="s">
        <v>11</v>
      </c>
      <c r="D10" s="9"/>
      <c r="E10" s="9"/>
      <c r="F10" s="9"/>
      <c r="G10" s="9"/>
      <c r="H10" s="21">
        <f t="shared" si="0"/>
        <v>0</v>
      </c>
      <c r="I10" s="4"/>
      <c r="N10" s="22"/>
      <c r="O10" s="22"/>
      <c r="P10" s="22"/>
      <c r="Q10" s="22"/>
    </row>
    <row r="11" spans="2:17" ht="11.25" customHeight="1" x14ac:dyDescent="0.25">
      <c r="B11" s="37">
        <f t="shared" si="1"/>
        <v>43787</v>
      </c>
      <c r="C11" s="6" t="s">
        <v>12</v>
      </c>
      <c r="D11" s="10"/>
      <c r="E11" s="10"/>
      <c r="F11" s="10"/>
      <c r="G11" s="10"/>
      <c r="H11" s="11">
        <f>SUM(H5:H10)</f>
        <v>0.32291666666666663</v>
      </c>
      <c r="I11" s="12" t="s">
        <v>13</v>
      </c>
      <c r="N11" s="22"/>
      <c r="O11" s="22"/>
      <c r="P11" s="22"/>
      <c r="Q11" s="22"/>
    </row>
    <row r="12" spans="2:17" ht="11.25" customHeight="1" x14ac:dyDescent="0.25">
      <c r="B12" s="36">
        <f t="shared" si="1"/>
        <v>43788</v>
      </c>
      <c r="C12" s="5" t="s">
        <v>6</v>
      </c>
      <c r="D12" s="16">
        <v>0.40625</v>
      </c>
      <c r="E12" s="16">
        <v>0.5</v>
      </c>
      <c r="F12" s="16">
        <v>0.54166666666666663</v>
      </c>
      <c r="G12" s="16">
        <v>0.69791666666666663</v>
      </c>
      <c r="H12" s="21">
        <f t="shared" ref="H12:H17" si="2">SUM((E12-D12)+(G12-F12))</f>
        <v>0.25</v>
      </c>
      <c r="I12" s="4"/>
      <c r="N12" s="22"/>
      <c r="O12" s="22"/>
      <c r="P12" s="22"/>
      <c r="Q12" s="22"/>
    </row>
    <row r="13" spans="2:17" ht="11.25" customHeight="1" x14ac:dyDescent="0.25">
      <c r="B13" s="36">
        <f t="shared" si="1"/>
        <v>43789</v>
      </c>
      <c r="C13" s="5" t="s">
        <v>7</v>
      </c>
      <c r="D13" s="9"/>
      <c r="E13" s="9"/>
      <c r="F13" s="9"/>
      <c r="G13" s="9"/>
      <c r="H13" s="21">
        <f t="shared" si="2"/>
        <v>0</v>
      </c>
      <c r="I13" s="4"/>
      <c r="N13" s="22"/>
      <c r="O13" s="22"/>
      <c r="P13" s="22"/>
      <c r="Q13" s="22"/>
    </row>
    <row r="14" spans="2:17" ht="11.25" customHeight="1" x14ac:dyDescent="0.25">
      <c r="B14" s="36">
        <f t="shared" si="1"/>
        <v>43790</v>
      </c>
      <c r="C14" s="8" t="s">
        <v>8</v>
      </c>
      <c r="D14" s="9">
        <v>0.54166666666666663</v>
      </c>
      <c r="E14" s="9">
        <v>0.69791666666666663</v>
      </c>
      <c r="F14" s="9"/>
      <c r="G14" s="9"/>
      <c r="H14" s="21">
        <f t="shared" si="2"/>
        <v>0.15625</v>
      </c>
      <c r="I14" s="4"/>
      <c r="N14" s="22"/>
      <c r="O14" s="22"/>
      <c r="P14" s="22"/>
      <c r="Q14" s="22"/>
    </row>
    <row r="15" spans="2:17" ht="11.25" customHeight="1" x14ac:dyDescent="0.25">
      <c r="B15" s="36">
        <f t="shared" si="1"/>
        <v>43791</v>
      </c>
      <c r="C15" s="5" t="s">
        <v>9</v>
      </c>
      <c r="H15" s="21">
        <f t="shared" si="2"/>
        <v>0</v>
      </c>
      <c r="I15" s="4"/>
      <c r="N15" s="22"/>
      <c r="O15" s="22"/>
      <c r="P15" s="22"/>
      <c r="Q15" s="22"/>
    </row>
    <row r="16" spans="2:17" ht="11.25" customHeight="1" x14ac:dyDescent="0.25">
      <c r="B16" s="36">
        <f t="shared" si="1"/>
        <v>43792</v>
      </c>
      <c r="C16" s="5" t="s">
        <v>10</v>
      </c>
      <c r="D16" s="9"/>
      <c r="E16" s="9"/>
      <c r="F16" s="9"/>
      <c r="G16" s="9"/>
      <c r="H16" s="21">
        <f t="shared" si="2"/>
        <v>0</v>
      </c>
      <c r="I16" s="4"/>
      <c r="N16" s="22"/>
      <c r="O16" s="22"/>
      <c r="P16" s="22"/>
      <c r="Q16" s="22"/>
    </row>
    <row r="17" spans="2:17" ht="11.25" customHeight="1" x14ac:dyDescent="0.25">
      <c r="B17" s="36">
        <f t="shared" si="1"/>
        <v>43793</v>
      </c>
      <c r="C17" s="5" t="s">
        <v>11</v>
      </c>
      <c r="D17" s="9"/>
      <c r="E17" s="9"/>
      <c r="F17" s="9"/>
      <c r="G17" s="9"/>
      <c r="H17" s="21">
        <f t="shared" si="2"/>
        <v>0</v>
      </c>
      <c r="I17" s="4"/>
      <c r="N17" s="22"/>
      <c r="O17" s="22"/>
      <c r="P17" s="22"/>
      <c r="Q17" s="22"/>
    </row>
    <row r="18" spans="2:17" ht="11.25" customHeight="1" x14ac:dyDescent="0.25">
      <c r="B18" s="37">
        <f t="shared" si="1"/>
        <v>43794</v>
      </c>
      <c r="C18" s="6" t="s">
        <v>12</v>
      </c>
      <c r="D18" s="10"/>
      <c r="E18" s="10"/>
      <c r="F18" s="10"/>
      <c r="G18" s="10"/>
      <c r="H18" s="11">
        <f>SUM(H12:H17)</f>
        <v>0.40625</v>
      </c>
      <c r="I18" s="12" t="s">
        <v>13</v>
      </c>
      <c r="N18" s="22"/>
      <c r="O18" s="22"/>
      <c r="P18" s="22"/>
      <c r="Q18" s="22"/>
    </row>
    <row r="19" spans="2:17" ht="11.25" customHeight="1" x14ac:dyDescent="0.25">
      <c r="B19" s="36">
        <f t="shared" si="1"/>
        <v>43795</v>
      </c>
      <c r="C19" s="5" t="s">
        <v>6</v>
      </c>
      <c r="D19" s="16">
        <v>0.38055555555555554</v>
      </c>
      <c r="E19" s="16">
        <v>0.5</v>
      </c>
      <c r="F19" s="16">
        <v>0.54166666666666663</v>
      </c>
      <c r="G19" s="16">
        <v>0.69791666666666663</v>
      </c>
      <c r="H19" s="21">
        <f>SUM((E19-D19)+(G19-F19))</f>
        <v>0.27569444444444446</v>
      </c>
      <c r="I19" s="4"/>
      <c r="N19" s="22"/>
      <c r="O19" s="22"/>
      <c r="P19" s="22"/>
      <c r="Q19" s="22"/>
    </row>
    <row r="20" spans="2:17" ht="11.25" customHeight="1" x14ac:dyDescent="0.25">
      <c r="B20" s="36">
        <f t="shared" si="1"/>
        <v>43796</v>
      </c>
      <c r="C20" s="5" t="s">
        <v>7</v>
      </c>
      <c r="D20" s="9"/>
      <c r="E20" s="9"/>
      <c r="F20" s="9"/>
      <c r="G20" s="9"/>
      <c r="H20" s="21">
        <f>SUM((E20-D20)+(G20-F20))</f>
        <v>0</v>
      </c>
      <c r="I20" s="7"/>
      <c r="N20" s="22"/>
      <c r="O20" s="22"/>
      <c r="P20" s="22"/>
      <c r="Q20" s="22"/>
    </row>
    <row r="21" spans="2:17" ht="11.25" customHeight="1" x14ac:dyDescent="0.25">
      <c r="B21" s="36">
        <f t="shared" si="1"/>
        <v>43797</v>
      </c>
      <c r="C21" s="8" t="s">
        <v>8</v>
      </c>
      <c r="D21" s="9">
        <v>0.59027777777777779</v>
      </c>
      <c r="E21" s="9">
        <v>0.69791666666666663</v>
      </c>
      <c r="F21" s="9"/>
      <c r="G21" s="9"/>
      <c r="H21" s="21">
        <f>SUM((E21-D21)+(G21-F21))</f>
        <v>0.10763888888888884</v>
      </c>
      <c r="I21" s="7"/>
      <c r="N21" s="22"/>
      <c r="O21" s="22"/>
      <c r="P21" s="22"/>
      <c r="Q21" s="22"/>
    </row>
    <row r="22" spans="2:17" ht="11.25" customHeight="1" x14ac:dyDescent="0.25">
      <c r="B22" s="36">
        <f t="shared" si="1"/>
        <v>43798</v>
      </c>
      <c r="C22" s="5" t="s">
        <v>9</v>
      </c>
      <c r="D22" s="9"/>
      <c r="E22" s="9"/>
      <c r="F22" s="9"/>
      <c r="G22" s="9"/>
      <c r="H22" s="21">
        <f>SUM((E22-D22)+(G22-F22))</f>
        <v>0</v>
      </c>
      <c r="I22" s="7"/>
      <c r="N22" s="22"/>
      <c r="O22" s="22"/>
      <c r="P22" s="22"/>
      <c r="Q22" s="22"/>
    </row>
    <row r="23" spans="2:17" ht="11.1" customHeight="1" x14ac:dyDescent="0.25">
      <c r="B23" s="10"/>
      <c r="C23" s="10"/>
      <c r="D23" s="10"/>
      <c r="E23" s="10"/>
      <c r="F23" s="10"/>
      <c r="G23" s="10"/>
      <c r="H23" s="39">
        <f>SUM(H19:H22)</f>
        <v>0.3833333333333333</v>
      </c>
      <c r="I23" s="12" t="s">
        <v>13</v>
      </c>
      <c r="N23" s="22"/>
      <c r="O23" s="22"/>
      <c r="P23" s="22"/>
      <c r="Q23" s="22"/>
    </row>
    <row r="24" spans="2:17" ht="15.95" customHeight="1" x14ac:dyDescent="0.25">
      <c r="B24" s="27"/>
      <c r="C24" s="27"/>
      <c r="D24" s="27"/>
      <c r="E24" s="28" t="s">
        <v>17</v>
      </c>
      <c r="F24" s="27"/>
      <c r="G24" s="27"/>
      <c r="H24" s="29">
        <f>SUM(H11,H18,H23)</f>
        <v>1.1124999999999998</v>
      </c>
      <c r="I24" s="27" t="s">
        <v>14</v>
      </c>
      <c r="N24" s="22"/>
      <c r="O24" s="22"/>
      <c r="P24" s="22"/>
      <c r="Q24" s="22"/>
    </row>
    <row r="25" spans="2:17" ht="14.1" customHeight="1" x14ac:dyDescent="0.25">
      <c r="B25" s="27"/>
      <c r="C25" s="27"/>
      <c r="D25" s="30"/>
      <c r="E25" s="27">
        <v>0</v>
      </c>
      <c r="F25" s="27"/>
      <c r="G25" s="27"/>
      <c r="H25" s="29">
        <v>1.2083333333333333</v>
      </c>
      <c r="I25" s="27" t="s">
        <v>15</v>
      </c>
      <c r="N25" s="22"/>
      <c r="O25" s="22"/>
      <c r="P25" s="22"/>
      <c r="Q25" s="22"/>
    </row>
    <row r="26" spans="2:17" ht="15" customHeight="1" x14ac:dyDescent="0.25">
      <c r="B26" s="27"/>
      <c r="C26" s="27"/>
      <c r="D26" s="30"/>
      <c r="E26" s="27"/>
      <c r="F26" s="27"/>
      <c r="G26" s="27"/>
      <c r="H26" s="31">
        <f>SUM(H24-H25+E25)</f>
        <v>-9.5833333333333437E-2</v>
      </c>
      <c r="I26" s="28" t="s">
        <v>16</v>
      </c>
      <c r="N26" s="22"/>
      <c r="O26" s="22"/>
      <c r="P26" s="22"/>
      <c r="Q26" s="22"/>
    </row>
    <row r="27" spans="2:17" ht="12" customHeight="1" x14ac:dyDescent="0.25">
      <c r="I27" s="14"/>
      <c r="N27" s="22"/>
      <c r="O27" s="22"/>
      <c r="P27" s="22"/>
      <c r="Q27" s="22"/>
    </row>
    <row r="28" spans="2:17" ht="11.25" customHeight="1" x14ac:dyDescent="0.25">
      <c r="N28" s="22"/>
      <c r="O28" s="22"/>
      <c r="P28" s="22"/>
      <c r="Q28" s="22"/>
    </row>
    <row r="29" spans="2:17" ht="11.25" customHeight="1" x14ac:dyDescent="0.25">
      <c r="N29" s="22"/>
      <c r="O29" s="22"/>
      <c r="P29" s="22"/>
      <c r="Q29" s="22"/>
    </row>
    <row r="30" spans="2:17" ht="11.25" customHeight="1" x14ac:dyDescent="0.25">
      <c r="N30" s="22"/>
      <c r="O30" s="22"/>
      <c r="P30" s="22"/>
      <c r="Q30" s="22"/>
    </row>
    <row r="31" spans="2:17" ht="11.25" customHeight="1" x14ac:dyDescent="0.25">
      <c r="N31" s="22"/>
      <c r="O31" s="22"/>
      <c r="P31" s="22"/>
      <c r="Q31" s="22"/>
    </row>
    <row r="32" spans="2:17" ht="11.25" customHeight="1" x14ac:dyDescent="0.25">
      <c r="N32" s="22"/>
      <c r="O32" s="22"/>
      <c r="P32" s="22"/>
      <c r="Q32" s="22"/>
    </row>
    <row r="33" spans="14:17" ht="11.25" customHeight="1" x14ac:dyDescent="0.25">
      <c r="N33" s="22"/>
      <c r="O33" s="22"/>
      <c r="P33" s="22"/>
      <c r="Q33" s="22"/>
    </row>
    <row r="34" spans="14:17" ht="11.25" customHeight="1" x14ac:dyDescent="0.25">
      <c r="N34" s="22"/>
      <c r="O34" s="22"/>
      <c r="P34" s="22"/>
      <c r="Q34" s="22"/>
    </row>
    <row r="35" spans="14:17" ht="11.25" customHeight="1" x14ac:dyDescent="0.25">
      <c r="N35" s="22"/>
      <c r="O35" s="22"/>
      <c r="P35" s="22"/>
      <c r="Q35" s="22"/>
    </row>
    <row r="36" spans="14:17" ht="11.25" customHeight="1" x14ac:dyDescent="0.25">
      <c r="N36" s="22"/>
      <c r="O36" s="22"/>
      <c r="P36" s="22"/>
      <c r="Q36" s="22"/>
    </row>
    <row r="37" spans="14:17" ht="11.25" customHeight="1" x14ac:dyDescent="0.25">
      <c r="N37" s="22"/>
      <c r="O37" s="22"/>
      <c r="P37" s="22"/>
      <c r="Q37" s="22"/>
    </row>
    <row r="38" spans="14:17" ht="11.25" customHeight="1" x14ac:dyDescent="0.25">
      <c r="N38" s="22"/>
      <c r="O38" s="22"/>
      <c r="P38" s="22"/>
      <c r="Q38" s="22"/>
    </row>
    <row r="39" spans="14:17" ht="11.25" customHeight="1" x14ac:dyDescent="0.25">
      <c r="N39" s="22"/>
      <c r="O39" s="22"/>
      <c r="P39" s="22"/>
      <c r="Q39" s="22"/>
    </row>
    <row r="40" spans="14:17" ht="7.5" customHeight="1" x14ac:dyDescent="0.25"/>
    <row r="41" spans="14:17" ht="11.25" customHeight="1" x14ac:dyDescent="0.25"/>
    <row r="42" spans="14:17" ht="11.25" customHeight="1" x14ac:dyDescent="0.25"/>
    <row r="43" spans="14:17" ht="11.25" customHeight="1" x14ac:dyDescent="0.25"/>
    <row r="44" spans="14:17" ht="7.5" customHeight="1" x14ac:dyDescent="0.25"/>
  </sheetData>
  <mergeCells count="2">
    <mergeCell ref="B2:C2"/>
    <mergeCell ref="H2:I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4479-699E-474D-A7E2-CC271ECCAA51}">
  <dimension ref="B1:Q39"/>
  <sheetViews>
    <sheetView tabSelected="1" zoomScale="130" zoomScaleNormal="130" workbookViewId="0">
      <selection activeCell="I40" sqref="I40"/>
    </sheetView>
  </sheetViews>
  <sheetFormatPr defaultColWidth="8.85546875" defaultRowHeight="15" x14ac:dyDescent="0.25"/>
  <cols>
    <col min="1" max="1" width="1.42578125" customWidth="1"/>
    <col min="2" max="2" width="16.7109375" customWidth="1"/>
    <col min="3" max="7" width="12.28515625" customWidth="1"/>
    <col min="8" max="8" width="12.28515625" style="1" customWidth="1"/>
    <col min="9" max="9" width="28.7109375" customWidth="1"/>
    <col min="10" max="11" width="1.42578125" customWidth="1"/>
  </cols>
  <sheetData>
    <row r="1" spans="2:17" ht="7.5" customHeight="1" x14ac:dyDescent="0.25"/>
    <row r="2" spans="2:17" ht="30" customHeight="1" x14ac:dyDescent="0.25">
      <c r="B2" s="40" t="s">
        <v>0</v>
      </c>
      <c r="C2" s="41"/>
      <c r="D2" s="2"/>
      <c r="F2" s="3"/>
      <c r="G2" s="33" t="s">
        <v>21</v>
      </c>
      <c r="H2" s="42">
        <v>43799</v>
      </c>
      <c r="I2" s="42"/>
      <c r="M2" s="20"/>
    </row>
    <row r="3" spans="2:17" ht="26.25" customHeight="1" thickBot="1" x14ac:dyDescent="0.3">
      <c r="B3" s="32" t="s">
        <v>23</v>
      </c>
      <c r="D3" s="34" t="s">
        <v>19</v>
      </c>
      <c r="E3" s="32" t="s">
        <v>22</v>
      </c>
      <c r="H3" s="34" t="s">
        <v>20</v>
      </c>
      <c r="I3" s="15" t="str">
        <f ca="1">MID(CELL("filename",A1),FIND("]",CELL("filename",A1))+1,255)</f>
        <v>December</v>
      </c>
    </row>
    <row r="4" spans="2:17" ht="11.25" customHeight="1" thickBot="1" x14ac:dyDescent="0.3">
      <c r="B4" s="23" t="s">
        <v>1</v>
      </c>
      <c r="C4" s="24" t="s">
        <v>18</v>
      </c>
      <c r="D4" s="24" t="s">
        <v>2</v>
      </c>
      <c r="E4" s="24" t="s">
        <v>3</v>
      </c>
      <c r="F4" s="24" t="s">
        <v>2</v>
      </c>
      <c r="G4" s="24" t="s">
        <v>3</v>
      </c>
      <c r="H4" s="25" t="s">
        <v>4</v>
      </c>
      <c r="I4" s="26" t="s">
        <v>5</v>
      </c>
      <c r="L4" s="19"/>
    </row>
    <row r="5" spans="2:17" ht="14.1" customHeight="1" x14ac:dyDescent="0.25">
      <c r="B5" s="35">
        <f>DATE(2023, 12, 1)</f>
        <v>43799</v>
      </c>
      <c r="C5" s="17" t="s">
        <v>10</v>
      </c>
      <c r="D5" s="16"/>
      <c r="E5" s="16"/>
      <c r="F5" s="16"/>
      <c r="G5" s="16"/>
      <c r="H5" s="21">
        <f t="shared" ref="H5:H10" si="0">SUM((E5-D5)+(G5-F5))</f>
        <v>0</v>
      </c>
      <c r="I5" s="4"/>
      <c r="L5" s="18"/>
      <c r="N5" s="22"/>
      <c r="O5" s="22"/>
      <c r="P5" s="22"/>
      <c r="Q5" s="22"/>
    </row>
    <row r="6" spans="2:17" ht="14.1" customHeight="1" x14ac:dyDescent="0.25">
      <c r="B6" s="36">
        <f>SUM((B5)+1)</f>
        <v>43800</v>
      </c>
      <c r="C6" s="17" t="s">
        <v>11</v>
      </c>
      <c r="D6" s="9"/>
      <c r="E6" s="9"/>
      <c r="F6" s="9"/>
      <c r="G6" s="9"/>
      <c r="H6" s="21">
        <f t="shared" si="0"/>
        <v>0</v>
      </c>
      <c r="I6" s="4"/>
      <c r="N6" s="22"/>
      <c r="O6" s="22"/>
      <c r="P6" s="22"/>
      <c r="Q6" s="22"/>
    </row>
    <row r="7" spans="2:17" ht="14.1" customHeight="1" x14ac:dyDescent="0.25">
      <c r="B7" s="36">
        <f>SUM((B6)+1)</f>
        <v>43801</v>
      </c>
      <c r="C7" s="17" t="s">
        <v>12</v>
      </c>
      <c r="D7" s="9"/>
      <c r="E7" s="9"/>
      <c r="F7" s="9"/>
      <c r="G7" s="9"/>
      <c r="H7" s="21">
        <f t="shared" si="0"/>
        <v>0</v>
      </c>
      <c r="I7" s="4"/>
      <c r="N7" s="22"/>
      <c r="O7" s="22"/>
      <c r="P7" s="22"/>
      <c r="Q7" s="22"/>
    </row>
    <row r="8" spans="2:17" ht="14.1" customHeight="1" x14ac:dyDescent="0.25">
      <c r="B8" s="36">
        <f t="shared" ref="B8:B36" si="1">SUM((B7)+1)</f>
        <v>43802</v>
      </c>
      <c r="C8" s="17" t="s">
        <v>6</v>
      </c>
      <c r="D8" s="9">
        <v>0.3888888888888889</v>
      </c>
      <c r="E8" s="9">
        <v>0.5</v>
      </c>
      <c r="F8" s="9">
        <v>0.54166666666666663</v>
      </c>
      <c r="G8" s="9">
        <v>0.69791666666666663</v>
      </c>
      <c r="H8" s="21">
        <f t="shared" si="0"/>
        <v>0.2673611111111111</v>
      </c>
      <c r="I8" s="4"/>
      <c r="N8" s="22"/>
      <c r="O8" s="22"/>
      <c r="P8" s="22"/>
      <c r="Q8" s="22"/>
    </row>
    <row r="9" spans="2:17" ht="14.1" customHeight="1" x14ac:dyDescent="0.25">
      <c r="B9" s="36">
        <f t="shared" si="1"/>
        <v>43803</v>
      </c>
      <c r="C9" s="17" t="s">
        <v>7</v>
      </c>
      <c r="D9" s="9"/>
      <c r="E9" s="9"/>
      <c r="F9" s="9"/>
      <c r="G9" s="9"/>
      <c r="H9" s="21">
        <f t="shared" si="0"/>
        <v>0</v>
      </c>
      <c r="I9" s="4"/>
      <c r="N9" s="22"/>
      <c r="O9" s="22"/>
      <c r="P9" s="22"/>
      <c r="Q9" s="22"/>
    </row>
    <row r="10" spans="2:17" ht="14.1" customHeight="1" x14ac:dyDescent="0.25">
      <c r="B10" s="36">
        <f t="shared" si="1"/>
        <v>43804</v>
      </c>
      <c r="C10" s="17" t="s">
        <v>8</v>
      </c>
      <c r="D10" s="9">
        <v>0.54166666666666663</v>
      </c>
      <c r="E10" s="9">
        <v>0.70138888888888884</v>
      </c>
      <c r="F10" s="9"/>
      <c r="G10" s="9"/>
      <c r="H10" s="21">
        <f t="shared" si="0"/>
        <v>0.15972222222222221</v>
      </c>
      <c r="I10" s="4"/>
      <c r="N10" s="22"/>
      <c r="O10" s="22"/>
      <c r="P10" s="22"/>
      <c r="Q10" s="22"/>
    </row>
    <row r="11" spans="2:17" ht="14.1" customHeight="1" x14ac:dyDescent="0.25">
      <c r="B11" s="37">
        <f t="shared" si="1"/>
        <v>43805</v>
      </c>
      <c r="C11" s="45" t="s">
        <v>9</v>
      </c>
      <c r="D11" s="10"/>
      <c r="E11" s="10"/>
      <c r="F11" s="10"/>
      <c r="G11" s="10"/>
      <c r="H11" s="11">
        <f>SUM(H5:H10)</f>
        <v>0.42708333333333331</v>
      </c>
      <c r="I11" s="12" t="s">
        <v>13</v>
      </c>
      <c r="N11" s="22"/>
      <c r="O11" s="22"/>
      <c r="P11" s="22"/>
      <c r="Q11" s="22"/>
    </row>
    <row r="12" spans="2:17" ht="14.1" customHeight="1" x14ac:dyDescent="0.25">
      <c r="B12" s="36">
        <f t="shared" si="1"/>
        <v>43806</v>
      </c>
      <c r="C12" s="17" t="s">
        <v>10</v>
      </c>
      <c r="D12" s="9"/>
      <c r="E12" s="9"/>
      <c r="F12" s="9"/>
      <c r="G12" s="9"/>
      <c r="H12" s="21">
        <f t="shared" ref="H12:H17" si="2">SUM((E12-D12)+(G12-F12))</f>
        <v>0</v>
      </c>
      <c r="I12" s="4"/>
      <c r="N12" s="22"/>
      <c r="O12" s="22"/>
      <c r="P12" s="22"/>
      <c r="Q12" s="22"/>
    </row>
    <row r="13" spans="2:17" ht="14.1" customHeight="1" x14ac:dyDescent="0.25">
      <c r="B13" s="36">
        <f t="shared" si="1"/>
        <v>43807</v>
      </c>
      <c r="C13" s="17" t="s">
        <v>11</v>
      </c>
      <c r="D13" s="9"/>
      <c r="E13" s="9"/>
      <c r="F13" s="9"/>
      <c r="G13" s="9"/>
      <c r="H13" s="21">
        <f t="shared" si="2"/>
        <v>0</v>
      </c>
      <c r="I13" s="4"/>
      <c r="N13" s="22"/>
      <c r="O13" s="22"/>
      <c r="P13" s="22"/>
      <c r="Q13" s="22"/>
    </row>
    <row r="14" spans="2:17" ht="14.1" customHeight="1" x14ac:dyDescent="0.25">
      <c r="B14" s="36">
        <f t="shared" si="1"/>
        <v>43808</v>
      </c>
      <c r="C14" s="17" t="s">
        <v>12</v>
      </c>
      <c r="D14" s="9"/>
      <c r="E14" s="9"/>
      <c r="F14" s="9"/>
      <c r="G14" s="9"/>
      <c r="H14" s="21">
        <f t="shared" si="2"/>
        <v>0</v>
      </c>
      <c r="I14" s="4"/>
      <c r="N14" s="22"/>
      <c r="O14" s="22"/>
      <c r="P14" s="22"/>
      <c r="Q14" s="22"/>
    </row>
    <row r="15" spans="2:17" ht="14.1" customHeight="1" x14ac:dyDescent="0.25">
      <c r="B15" s="36">
        <f t="shared" si="1"/>
        <v>43809</v>
      </c>
      <c r="C15" s="17" t="s">
        <v>6</v>
      </c>
      <c r="D15" s="9"/>
      <c r="E15" s="9"/>
      <c r="F15" s="9"/>
      <c r="G15" s="9"/>
      <c r="H15" s="21">
        <f t="shared" si="2"/>
        <v>0</v>
      </c>
      <c r="I15" s="4"/>
      <c r="N15" s="22"/>
      <c r="O15" s="22"/>
      <c r="P15" s="22"/>
      <c r="Q15" s="22"/>
    </row>
    <row r="16" spans="2:17" ht="14.1" customHeight="1" x14ac:dyDescent="0.25">
      <c r="B16" s="36">
        <f t="shared" si="1"/>
        <v>43810</v>
      </c>
      <c r="C16" s="17" t="s">
        <v>7</v>
      </c>
      <c r="D16" s="9"/>
      <c r="E16" s="9"/>
      <c r="F16" s="9"/>
      <c r="G16" s="9"/>
      <c r="H16" s="21">
        <f t="shared" si="2"/>
        <v>0</v>
      </c>
      <c r="I16" s="4"/>
      <c r="N16" s="22"/>
      <c r="O16" s="22"/>
      <c r="P16" s="22"/>
      <c r="Q16" s="22"/>
    </row>
    <row r="17" spans="2:17" ht="14.1" customHeight="1" x14ac:dyDescent="0.25">
      <c r="B17" s="36">
        <f t="shared" si="1"/>
        <v>43811</v>
      </c>
      <c r="C17" s="17" t="s">
        <v>8</v>
      </c>
      <c r="D17" s="9"/>
      <c r="E17" s="9"/>
      <c r="F17" s="9"/>
      <c r="G17" s="9"/>
      <c r="H17" s="21">
        <f t="shared" si="2"/>
        <v>0</v>
      </c>
      <c r="I17" s="4"/>
      <c r="N17" s="22"/>
      <c r="O17" s="22"/>
      <c r="P17" s="22"/>
      <c r="Q17" s="22"/>
    </row>
    <row r="18" spans="2:17" ht="14.1" customHeight="1" x14ac:dyDescent="0.25">
      <c r="B18" s="37">
        <f t="shared" si="1"/>
        <v>43812</v>
      </c>
      <c r="C18" s="45" t="s">
        <v>9</v>
      </c>
      <c r="D18" s="10"/>
      <c r="E18" s="10"/>
      <c r="F18" s="10"/>
      <c r="G18" s="10"/>
      <c r="H18" s="11">
        <f>SUM(H12:H17)</f>
        <v>0</v>
      </c>
      <c r="I18" s="12" t="s">
        <v>13</v>
      </c>
      <c r="N18" s="22"/>
      <c r="O18" s="22"/>
      <c r="P18" s="22"/>
      <c r="Q18" s="22"/>
    </row>
    <row r="19" spans="2:17" ht="14.1" customHeight="1" x14ac:dyDescent="0.25">
      <c r="B19" s="36">
        <f t="shared" si="1"/>
        <v>43813</v>
      </c>
      <c r="C19" s="17" t="s">
        <v>10</v>
      </c>
      <c r="D19" s="9"/>
      <c r="E19" s="9"/>
      <c r="F19" s="9"/>
      <c r="G19" s="9"/>
      <c r="H19" s="21">
        <f t="shared" ref="H19:H24" si="3">SUM((E19-D19)+(G19-F19))</f>
        <v>0</v>
      </c>
      <c r="I19" s="4"/>
      <c r="N19" s="22"/>
      <c r="O19" s="22"/>
      <c r="P19" s="22"/>
      <c r="Q19" s="22"/>
    </row>
    <row r="20" spans="2:17" ht="14.1" customHeight="1" x14ac:dyDescent="0.25">
      <c r="B20" s="36">
        <f t="shared" si="1"/>
        <v>43814</v>
      </c>
      <c r="C20" s="17" t="s">
        <v>11</v>
      </c>
      <c r="D20" s="9"/>
      <c r="E20" s="9"/>
      <c r="F20" s="9"/>
      <c r="G20" s="9"/>
      <c r="H20" s="21">
        <f t="shared" si="3"/>
        <v>0</v>
      </c>
      <c r="I20" s="7"/>
      <c r="N20" s="22"/>
      <c r="O20" s="22"/>
      <c r="P20" s="22"/>
      <c r="Q20" s="22"/>
    </row>
    <row r="21" spans="2:17" ht="14.1" customHeight="1" x14ac:dyDescent="0.25">
      <c r="B21" s="36">
        <f t="shared" si="1"/>
        <v>43815</v>
      </c>
      <c r="C21" s="17" t="s">
        <v>12</v>
      </c>
      <c r="D21" s="9"/>
      <c r="E21" s="9"/>
      <c r="F21" s="9"/>
      <c r="G21" s="9"/>
      <c r="H21" s="21">
        <f t="shared" si="3"/>
        <v>0</v>
      </c>
      <c r="I21" s="7"/>
      <c r="N21" s="22"/>
      <c r="O21" s="22"/>
      <c r="P21" s="22"/>
      <c r="Q21" s="22"/>
    </row>
    <row r="22" spans="2:17" ht="14.1" customHeight="1" x14ac:dyDescent="0.25">
      <c r="B22" s="36">
        <f t="shared" si="1"/>
        <v>43816</v>
      </c>
      <c r="C22" s="17" t="s">
        <v>6</v>
      </c>
      <c r="H22" s="21">
        <f t="shared" si="3"/>
        <v>0</v>
      </c>
      <c r="I22" s="7"/>
      <c r="N22" s="22"/>
      <c r="O22" s="22"/>
      <c r="P22" s="22"/>
      <c r="Q22" s="22"/>
    </row>
    <row r="23" spans="2:17" ht="14.1" customHeight="1" x14ac:dyDescent="0.25">
      <c r="B23" s="36">
        <f t="shared" si="1"/>
        <v>43817</v>
      </c>
      <c r="C23" s="17" t="s">
        <v>7</v>
      </c>
      <c r="D23" s="9"/>
      <c r="E23" s="9"/>
      <c r="F23" s="9"/>
      <c r="G23" s="9"/>
      <c r="H23" s="21">
        <f t="shared" si="3"/>
        <v>0</v>
      </c>
      <c r="I23" s="7"/>
      <c r="N23" s="22"/>
      <c r="O23" s="22"/>
      <c r="P23" s="22"/>
      <c r="Q23" s="22"/>
    </row>
    <row r="24" spans="2:17" ht="14.1" customHeight="1" x14ac:dyDescent="0.25">
      <c r="B24" s="36">
        <f t="shared" si="1"/>
        <v>43818</v>
      </c>
      <c r="C24" s="17" t="s">
        <v>8</v>
      </c>
      <c r="D24" s="9"/>
      <c r="E24" s="9"/>
      <c r="F24" s="9"/>
      <c r="G24" s="9"/>
      <c r="H24" s="21">
        <f t="shared" si="3"/>
        <v>0</v>
      </c>
      <c r="I24" s="7"/>
      <c r="N24" s="22"/>
      <c r="O24" s="22"/>
      <c r="P24" s="22"/>
      <c r="Q24" s="22"/>
    </row>
    <row r="25" spans="2:17" ht="14.1" customHeight="1" x14ac:dyDescent="0.25">
      <c r="B25" s="37">
        <f t="shared" si="1"/>
        <v>43819</v>
      </c>
      <c r="C25" s="45" t="s">
        <v>9</v>
      </c>
      <c r="D25" s="10"/>
      <c r="E25" s="10"/>
      <c r="F25" s="10"/>
      <c r="G25" s="10"/>
      <c r="H25" s="10"/>
      <c r="I25" s="13" t="s">
        <v>13</v>
      </c>
      <c r="N25" s="22"/>
      <c r="O25" s="22"/>
      <c r="P25" s="22"/>
      <c r="Q25" s="22"/>
    </row>
    <row r="26" spans="2:17" ht="14.1" customHeight="1" x14ac:dyDescent="0.25">
      <c r="B26" s="36">
        <f t="shared" si="1"/>
        <v>43820</v>
      </c>
      <c r="C26" s="17" t="s">
        <v>10</v>
      </c>
      <c r="D26" s="9"/>
      <c r="E26" s="9"/>
      <c r="F26" s="9"/>
      <c r="G26" s="9"/>
      <c r="H26" s="21">
        <f t="shared" ref="H26:H31" si="4">SUM((E26-D26)+(G26-F26))</f>
        <v>0</v>
      </c>
      <c r="I26" s="7"/>
      <c r="N26" s="22"/>
      <c r="O26" s="22"/>
      <c r="P26" s="22"/>
      <c r="Q26" s="22"/>
    </row>
    <row r="27" spans="2:17" ht="14.1" customHeight="1" x14ac:dyDescent="0.25">
      <c r="B27" s="36">
        <f t="shared" si="1"/>
        <v>43821</v>
      </c>
      <c r="C27" s="17" t="s">
        <v>11</v>
      </c>
      <c r="D27" s="9"/>
      <c r="E27" s="9"/>
      <c r="F27" s="9"/>
      <c r="G27" s="9"/>
      <c r="H27" s="21">
        <f t="shared" si="4"/>
        <v>0</v>
      </c>
      <c r="I27" s="7"/>
      <c r="N27" s="22"/>
      <c r="O27" s="22"/>
      <c r="P27" s="22"/>
      <c r="Q27" s="22"/>
    </row>
    <row r="28" spans="2:17" ht="14.1" customHeight="1" x14ac:dyDescent="0.25">
      <c r="B28" s="36">
        <f t="shared" si="1"/>
        <v>43822</v>
      </c>
      <c r="C28" s="17" t="s">
        <v>12</v>
      </c>
      <c r="D28" s="9"/>
      <c r="E28" s="9"/>
      <c r="F28" s="9"/>
      <c r="G28" s="9"/>
      <c r="H28" s="21">
        <f t="shared" si="4"/>
        <v>0</v>
      </c>
      <c r="I28" s="7"/>
      <c r="N28" s="22"/>
      <c r="O28" s="22"/>
      <c r="P28" s="22"/>
      <c r="Q28" s="22"/>
    </row>
    <row r="29" spans="2:17" ht="14.1" customHeight="1" x14ac:dyDescent="0.25">
      <c r="B29" s="36">
        <f t="shared" si="1"/>
        <v>43823</v>
      </c>
      <c r="C29" s="17" t="s">
        <v>6</v>
      </c>
      <c r="E29" s="9"/>
      <c r="G29" s="9"/>
      <c r="H29" s="21">
        <f t="shared" si="4"/>
        <v>0</v>
      </c>
      <c r="I29" s="7"/>
      <c r="N29" s="22"/>
      <c r="O29" s="22"/>
      <c r="P29" s="22"/>
      <c r="Q29" s="22"/>
    </row>
    <row r="30" spans="2:17" ht="14.1" customHeight="1" x14ac:dyDescent="0.25">
      <c r="B30" s="36">
        <f t="shared" si="1"/>
        <v>43824</v>
      </c>
      <c r="C30" s="17" t="s">
        <v>7</v>
      </c>
      <c r="D30" s="9"/>
      <c r="E30" s="9"/>
      <c r="F30" s="9"/>
      <c r="G30" s="9"/>
      <c r="H30" s="21">
        <f t="shared" si="4"/>
        <v>0</v>
      </c>
      <c r="I30" s="7"/>
      <c r="N30" s="22"/>
      <c r="O30" s="22"/>
      <c r="P30" s="22"/>
      <c r="Q30" s="22"/>
    </row>
    <row r="31" spans="2:17" ht="14.1" customHeight="1" x14ac:dyDescent="0.25">
      <c r="B31" s="36">
        <f t="shared" si="1"/>
        <v>43825</v>
      </c>
      <c r="C31" s="17" t="s">
        <v>8</v>
      </c>
      <c r="D31" s="9"/>
      <c r="E31" s="9"/>
      <c r="F31" s="9"/>
      <c r="G31" s="9"/>
      <c r="H31" s="21">
        <f t="shared" si="4"/>
        <v>0</v>
      </c>
      <c r="I31" s="7"/>
      <c r="N31" s="22"/>
      <c r="O31" s="22"/>
      <c r="P31" s="22"/>
      <c r="Q31" s="22"/>
    </row>
    <row r="32" spans="2:17" ht="14.1" customHeight="1" x14ac:dyDescent="0.25">
      <c r="B32" s="37">
        <f t="shared" si="1"/>
        <v>43826</v>
      </c>
      <c r="C32" s="45" t="s">
        <v>9</v>
      </c>
      <c r="D32" s="10"/>
      <c r="E32" s="10"/>
      <c r="F32" s="10"/>
      <c r="G32" s="10"/>
      <c r="H32" s="11">
        <f>SUM(H19:H24)</f>
        <v>0</v>
      </c>
      <c r="I32" s="13" t="s">
        <v>13</v>
      </c>
      <c r="N32" s="22"/>
      <c r="O32" s="22"/>
      <c r="P32" s="22"/>
      <c r="Q32" s="22"/>
    </row>
    <row r="33" spans="2:9" x14ac:dyDescent="0.25">
      <c r="B33" s="43">
        <f t="shared" si="1"/>
        <v>43827</v>
      </c>
      <c r="C33" s="17" t="s">
        <v>10</v>
      </c>
      <c r="D33" s="44"/>
      <c r="E33" s="44"/>
      <c r="F33" s="44"/>
      <c r="G33" s="44"/>
      <c r="H33" s="44"/>
      <c r="I33" s="44"/>
    </row>
    <row r="34" spans="2:9" x14ac:dyDescent="0.25">
      <c r="B34" s="43">
        <f t="shared" si="1"/>
        <v>43828</v>
      </c>
      <c r="C34" s="17" t="s">
        <v>11</v>
      </c>
      <c r="D34" s="44"/>
      <c r="E34" s="44"/>
      <c r="F34" s="44"/>
      <c r="G34" s="44"/>
      <c r="H34" s="44"/>
      <c r="I34" s="44"/>
    </row>
    <row r="35" spans="2:9" x14ac:dyDescent="0.25">
      <c r="B35" s="43">
        <f t="shared" si="1"/>
        <v>43829</v>
      </c>
      <c r="C35" s="17" t="s">
        <v>12</v>
      </c>
      <c r="D35" s="44"/>
      <c r="E35" s="44"/>
      <c r="F35" s="44"/>
      <c r="G35" s="44"/>
      <c r="H35" s="44"/>
      <c r="I35" s="44"/>
    </row>
    <row r="36" spans="2:9" ht="11.25" customHeight="1" x14ac:dyDescent="0.25">
      <c r="B36" s="27"/>
      <c r="C36" s="27"/>
      <c r="D36" s="27"/>
      <c r="E36" s="28" t="s">
        <v>17</v>
      </c>
      <c r="F36" s="27"/>
      <c r="G36" s="27"/>
      <c r="H36" s="29">
        <f>SUM(H32,H25,H18,H11)</f>
        <v>0.42708333333333331</v>
      </c>
      <c r="I36" s="27" t="s">
        <v>14</v>
      </c>
    </row>
    <row r="37" spans="2:9" ht="11.25" customHeight="1" x14ac:dyDescent="0.25">
      <c r="B37" s="27"/>
      <c r="C37" s="27"/>
      <c r="D37" s="30"/>
      <c r="E37" s="38">
        <f>SUM(November!H26)</f>
        <v>-9.5833333333333437E-2</v>
      </c>
      <c r="F37" s="27"/>
      <c r="G37" s="27"/>
      <c r="H37" s="29">
        <v>0.60416666666666663</v>
      </c>
      <c r="I37" s="27" t="s">
        <v>15</v>
      </c>
    </row>
    <row r="38" spans="2:9" ht="11.25" customHeight="1" x14ac:dyDescent="0.25">
      <c r="B38" s="27"/>
      <c r="C38" s="27"/>
      <c r="D38" s="30"/>
      <c r="E38" s="27"/>
      <c r="F38" s="27"/>
      <c r="G38" s="27"/>
      <c r="H38" s="31">
        <f>SUM(H36-H37+E37)</f>
        <v>-0.27291666666666675</v>
      </c>
      <c r="I38" s="28" t="s">
        <v>16</v>
      </c>
    </row>
    <row r="39" spans="2:9" ht="7.5" customHeight="1" x14ac:dyDescent="0.25">
      <c r="I39" s="14"/>
    </row>
  </sheetData>
  <mergeCells count="2">
    <mergeCell ref="B2:C2"/>
    <mergeCell ref="H2:I2"/>
  </mergeCells>
  <phoneticPr fontId="5" type="noConversion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fc497e-aba6-4f71-8fa6-def1813869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381124E82A141BFCE86E059EA7CE4" ma:contentTypeVersion="13" ma:contentTypeDescription="Create a new document." ma:contentTypeScope="" ma:versionID="34f3f157215b886f9fead92b46a84f9e">
  <xsd:schema xmlns:xsd="http://www.w3.org/2001/XMLSchema" xmlns:xs="http://www.w3.org/2001/XMLSchema" xmlns:p="http://schemas.microsoft.com/office/2006/metadata/properties" xmlns:ns3="47fc497e-aba6-4f71-8fa6-def1813869d6" xmlns:ns4="56add725-b241-4c42-a58d-895276d8b265" targetNamespace="http://schemas.microsoft.com/office/2006/metadata/properties" ma:root="true" ma:fieldsID="6bdd7e1028d8efdfb6d75b1630915ea5" ns3:_="" ns4:_="">
    <xsd:import namespace="47fc497e-aba6-4f71-8fa6-def1813869d6"/>
    <xsd:import namespace="56add725-b241-4c42-a58d-895276d8b2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c497e-aba6-4f71-8fa6-def181386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dd725-b241-4c42-a58d-895276d8b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BEC57-BFFB-4310-A9B5-F7AB929E36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37F242-442D-4226-BEB6-71579612AF8F}">
  <ds:schemaRefs>
    <ds:schemaRef ds:uri="56add725-b241-4c42-a58d-895276d8b265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47fc497e-aba6-4f71-8fa6-def1813869d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7A14DD-FDC5-45E4-8776-5D39C57B3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fc497e-aba6-4f71-8fa6-def1813869d6"/>
    <ds:schemaRef ds:uri="56add725-b241-4c42-a58d-895276d8b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November</vt:lpstr>
      <vt:lpstr>December</vt:lpstr>
      <vt:lpstr>December!Print_Area</vt:lpstr>
      <vt:lpstr>November!Print_Area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Travis Hiner</dc:creator>
  <cp:keywords/>
  <dc:description/>
  <cp:lastModifiedBy>Hasnat, Maria [539982]</cp:lastModifiedBy>
  <cp:revision/>
  <cp:lastPrinted>2023-05-03T09:24:15Z</cp:lastPrinted>
  <dcterms:created xsi:type="dcterms:W3CDTF">2022-09-04T17:25:33Z</dcterms:created>
  <dcterms:modified xsi:type="dcterms:W3CDTF">2023-12-11T16:47:32Z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0x010100E7E381124E82A141BFCE86E059EA7CE4</vt:lpwstr>
  </property>
</Properties>
</file>